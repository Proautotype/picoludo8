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icker sizes" sheetId="1" state="visible" r:id="rId3"/>
    <sheet name="Other siz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8" authorId="0">
      <text>
        <r>
          <rPr>
            <sz val="10"/>
            <rFont val="Arial"/>
            <family val="2"/>
          </rPr>
          <t xml:space="preserve">Measured from the vector cut lines in the press PDFs (PicoLudo-die-cut-PDFs.zip), 10 Oct 2026.</t>
        </r>
      </text>
    </comment>
    <comment ref="H8" authorId="0">
      <text>
        <r>
          <rPr>
            <sz val="10"/>
            <rFont val="Arial"/>
            <family val="2"/>
          </rPr>
          <t xml:space="preserve">Read from each PDF page size (MediaBox) in PicoLudo-die-cut-PDFs.zip.</t>
        </r>
      </text>
    </comment>
  </commentList>
</comments>
</file>

<file path=xl/sharedStrings.xml><?xml version="1.0" encoding="utf-8"?>
<sst xmlns="http://schemas.openxmlformats.org/spreadsheetml/2006/main" count="106" uniqueCount="85">
  <si>
    <t xml:space="preserve">Pico Ludo die-cut stickers: sizes</t>
  </si>
  <si>
    <t xml:space="preserve">Cut size = the finished sticker. PDF page = cut size plus white bleed and margin.</t>
  </si>
  <si>
    <t xml:space="preserve">Square to fit (mm)</t>
  </si>
  <si>
    <t xml:space="preserve">Change this to test another square size (76 mm = 3 in).</t>
  </si>
  <si>
    <t xml:space="preserve">mm per inch</t>
  </si>
  <si>
    <t xml:space="preserve">Category</t>
  </si>
  <si>
    <t xml:space="preserve">Sticker</t>
  </si>
  <si>
    <t xml:space="preserve">PDF file</t>
  </si>
  <si>
    <t xml:space="preserve">Cut width (mm)</t>
  </si>
  <si>
    <t xml:space="preserve">Cut height (mm)</t>
  </si>
  <si>
    <t xml:space="preserve">Cut width (in)</t>
  </si>
  <si>
    <t xml:space="preserve">Cut height (in)</t>
  </si>
  <si>
    <t xml:space="preserve">PDF page width (mm)</t>
  </si>
  <si>
    <t xml:space="preserve">PDF page height (mm)</t>
  </si>
  <si>
    <t xml:space="preserve">Fits the square?</t>
  </si>
  <si>
    <t xml:space="preserve">Dice</t>
  </si>
  <si>
    <t xml:space="preserve">Classic dice</t>
  </si>
  <si>
    <t xml:space="preserve">PicoLudo-dice-classic.pdf</t>
  </si>
  <si>
    <t xml:space="preserve">Candy dice</t>
  </si>
  <si>
    <t xml:space="preserve">PicoLudo-dice-candy.pdf</t>
  </si>
  <si>
    <t xml:space="preserve">Mint dice</t>
  </si>
  <si>
    <t xml:space="preserve">PicoLudo-dice-mint.pdf</t>
  </si>
  <si>
    <t xml:space="preserve">Golden dice</t>
  </si>
  <si>
    <t xml:space="preserve">PicoLudo-dice-golden.pdf</t>
  </si>
  <si>
    <t xml:space="preserve">Jungle dice</t>
  </si>
  <si>
    <t xml:space="preserve">PicoLudo-dice-jungle.pdf</t>
  </si>
  <si>
    <t xml:space="preserve">Neon dice</t>
  </si>
  <si>
    <t xml:space="preserve">PicoLudo-dice-neon.pdf</t>
  </si>
  <si>
    <t xml:space="preserve">Seashell dice</t>
  </si>
  <si>
    <t xml:space="preserve">PicoLudo-dice-seashell.pdf</t>
  </si>
  <si>
    <t xml:space="preserve">Seeds</t>
  </si>
  <si>
    <t xml:space="preserve">Classic seeds</t>
  </si>
  <si>
    <t xml:space="preserve">PicoLudo-seed-classic.pdf</t>
  </si>
  <si>
    <t xml:space="preserve">Royal seeds</t>
  </si>
  <si>
    <t xml:space="preserve">PicoLudo-seed-royal.pdf</t>
  </si>
  <si>
    <t xml:space="preserve">Pirate seeds</t>
  </si>
  <si>
    <t xml:space="preserve">PicoLudo-seed-pirate.pdf</t>
  </si>
  <si>
    <t xml:space="preserve">Robot seeds</t>
  </si>
  <si>
    <t xml:space="preserve">PicoLudo-seed-robot.pdf</t>
  </si>
  <si>
    <t xml:space="preserve">Astronaut seeds</t>
  </si>
  <si>
    <t xml:space="preserve">PicoLudo-seed-astronaut.pdf</t>
  </si>
  <si>
    <t xml:space="preserve">Neon seeds</t>
  </si>
  <si>
    <t xml:space="preserve">PicoLudo-seed-neon.pdf</t>
  </si>
  <si>
    <t xml:space="preserve">Coconut seeds</t>
  </si>
  <si>
    <t xml:space="preserve">PicoLudo-seed-coconut.pdf</t>
  </si>
  <si>
    <t xml:space="preserve">Cowrie seeds</t>
  </si>
  <si>
    <t xml:space="preserve">PicoLudo-seed-cowrie.pdf</t>
  </si>
  <si>
    <t xml:space="preserve">Boards</t>
  </si>
  <si>
    <t xml:space="preserve">Navy board</t>
  </si>
  <si>
    <t xml:space="preserve">PicoLudo-board-navy.pdf</t>
  </si>
  <si>
    <t xml:space="preserve">Coral board</t>
  </si>
  <si>
    <t xml:space="preserve">PicoLudo-board-coral.pdf</t>
  </si>
  <si>
    <t xml:space="preserve">Forest board</t>
  </si>
  <si>
    <t xml:space="preserve">PicoLudo-board-forest.pdf</t>
  </si>
  <si>
    <t xml:space="preserve">Royal board</t>
  </si>
  <si>
    <t xml:space="preserve">PicoLudo-board-royal.pdf</t>
  </si>
  <si>
    <t xml:space="preserve">Jungle</t>
  </si>
  <si>
    <t xml:space="preserve">PicoLudo-board-jungle.pdf</t>
  </si>
  <si>
    <t xml:space="preserve">Night Club</t>
  </si>
  <si>
    <t xml:space="preserve">PicoLudo-board-nightclub.pdf</t>
  </si>
  <si>
    <t xml:space="preserve">Beach</t>
  </si>
  <si>
    <t xml:space="preserve">PicoLudo-board-beach.pdf</t>
  </si>
  <si>
    <t xml:space="preserve">Largest cut width (mm)</t>
  </si>
  <si>
    <t xml:space="preserve">Largest cut height (mm)</t>
  </si>
  <si>
    <t xml:space="preserve">Largest cut width (in)</t>
  </si>
  <si>
    <t xml:space="preserve">Largest cut height (in)</t>
  </si>
  <si>
    <t xml:space="preserve">Stickers that fit the square</t>
  </si>
  <si>
    <t xml:space="preserve">Blue = measured or input values. Black = formulas. Yellow = the cell to change.</t>
  </si>
  <si>
    <t xml:space="preserve">Other sizes</t>
  </si>
  <si>
    <t xml:space="preserve">Item</t>
  </si>
  <si>
    <t xml:space="preserve">Width</t>
  </si>
  <si>
    <t xml:space="preserve">Height</t>
  </si>
  <si>
    <t xml:space="preserve">Unit</t>
  </si>
  <si>
    <t xml:space="preserve">Width (mm)</t>
  </si>
  <si>
    <t xml:space="preserve">Height (mm)</t>
  </si>
  <si>
    <t xml:space="preserve">Note</t>
  </si>
  <si>
    <t xml:space="preserve">In-game / WhatsApp sticker</t>
  </si>
  <si>
    <t xml:space="preserve">px</t>
  </si>
  <si>
    <t xml:space="preserve">n/a</t>
  </si>
  <si>
    <t xml:space="preserve">Screen images, no physical size</t>
  </si>
  <si>
    <t xml:space="preserve">Sticker square on a Letter print sheet</t>
  </si>
  <si>
    <t xml:space="preserve">in</t>
  </si>
  <si>
    <t xml:space="preserve">Print and Print v2 pages on the canvas</t>
  </si>
  <si>
    <t xml:space="preserve">Letter print sheet</t>
  </si>
  <si>
    <t xml:space="preserve">US Letter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</si>
</sst>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4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8E4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30"/>
    <col collapsed="false" customWidth="true" hidden="false" outlineLevel="0" max="7" min="4" style="0" width="12"/>
    <col collapsed="false" customWidth="true" hidden="false" outlineLevel="0" max="9" min="8" style="0" width="1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2</v>
      </c>
      <c r="B4" s="5" t="n">
        <v>76</v>
      </c>
      <c r="C4" s="3" t="s">
        <v>3</v>
      </c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4" t="s">
        <v>4</v>
      </c>
      <c r="B5" s="6" t="n">
        <v>25.4</v>
      </c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</row>
    <row r="7" customFormat="false" ht="30" hidden="false" customHeight="true" outlineLevel="0" collapsed="false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</row>
    <row r="8" customFormat="false" ht="15" hidden="false" customHeight="false" outlineLevel="0" collapsed="false">
      <c r="A8" s="8" t="s">
        <v>15</v>
      </c>
      <c r="B8" s="8" t="s">
        <v>16</v>
      </c>
      <c r="C8" s="8" t="s">
        <v>17</v>
      </c>
      <c r="D8" s="9" t="n">
        <v>70</v>
      </c>
      <c r="E8" s="9" t="n">
        <v>67.5</v>
      </c>
      <c r="F8" s="10" t="n">
        <f aca="false">D8/$B$5</f>
        <v>2.75590551181102</v>
      </c>
      <c r="G8" s="10" t="n">
        <f aca="false">E8/$B$5</f>
        <v>2.65748031496063</v>
      </c>
      <c r="H8" s="9" t="n">
        <v>77</v>
      </c>
      <c r="I8" s="9" t="n">
        <v>74.5</v>
      </c>
      <c r="J8" s="11" t="str">
        <f aca="false">IF(AND(D8&lt;=$B$4,E8&lt;=$B$4),"Yes","No")</f>
        <v>Yes</v>
      </c>
    </row>
    <row r="9" customFormat="false" ht="15" hidden="false" customHeight="false" outlineLevel="0" collapsed="false">
      <c r="A9" s="8" t="s">
        <v>15</v>
      </c>
      <c r="B9" s="8" t="s">
        <v>18</v>
      </c>
      <c r="C9" s="8" t="s">
        <v>19</v>
      </c>
      <c r="D9" s="9" t="n">
        <v>66.8</v>
      </c>
      <c r="E9" s="9" t="n">
        <v>67.5</v>
      </c>
      <c r="F9" s="10" t="n">
        <f aca="false">D9/$B$5</f>
        <v>2.62992125984252</v>
      </c>
      <c r="G9" s="10" t="n">
        <f aca="false">E9/$B$5</f>
        <v>2.65748031496063</v>
      </c>
      <c r="H9" s="9" t="n">
        <v>73.7</v>
      </c>
      <c r="I9" s="9" t="n">
        <v>74.5</v>
      </c>
      <c r="J9" s="11" t="str">
        <f aca="false">IF(AND(D9&lt;=$B$4,E9&lt;=$B$4),"Yes","No")</f>
        <v>Yes</v>
      </c>
    </row>
    <row r="10" customFormat="false" ht="15" hidden="false" customHeight="false" outlineLevel="0" collapsed="false">
      <c r="A10" s="8" t="s">
        <v>15</v>
      </c>
      <c r="B10" s="8" t="s">
        <v>20</v>
      </c>
      <c r="C10" s="8" t="s">
        <v>21</v>
      </c>
      <c r="D10" s="9" t="n">
        <v>69.6</v>
      </c>
      <c r="E10" s="9" t="n">
        <v>67.5</v>
      </c>
      <c r="F10" s="10" t="n">
        <f aca="false">D10/$B$5</f>
        <v>2.74015748031496</v>
      </c>
      <c r="G10" s="10" t="n">
        <f aca="false">E10/$B$5</f>
        <v>2.65748031496063</v>
      </c>
      <c r="H10" s="9" t="n">
        <v>76.6</v>
      </c>
      <c r="I10" s="9" t="n">
        <v>74.5</v>
      </c>
      <c r="J10" s="11" t="str">
        <f aca="false">IF(AND(D10&lt;=$B$4,E10&lt;=$B$4),"Yes","No")</f>
        <v>Yes</v>
      </c>
    </row>
    <row r="11" customFormat="false" ht="15" hidden="false" customHeight="false" outlineLevel="0" collapsed="false">
      <c r="A11" s="8" t="s">
        <v>15</v>
      </c>
      <c r="B11" s="8" t="s">
        <v>22</v>
      </c>
      <c r="C11" s="8" t="s">
        <v>23</v>
      </c>
      <c r="D11" s="9" t="n">
        <v>66.8</v>
      </c>
      <c r="E11" s="9" t="n">
        <v>67.5</v>
      </c>
      <c r="F11" s="10" t="n">
        <f aca="false">D11/$B$5</f>
        <v>2.62992125984252</v>
      </c>
      <c r="G11" s="10" t="n">
        <f aca="false">E11/$B$5</f>
        <v>2.65748031496063</v>
      </c>
      <c r="H11" s="9" t="n">
        <v>73.7</v>
      </c>
      <c r="I11" s="9" t="n">
        <v>74.5</v>
      </c>
      <c r="J11" s="11" t="str">
        <f aca="false">IF(AND(D11&lt;=$B$4,E11&lt;=$B$4),"Yes","No")</f>
        <v>Yes</v>
      </c>
    </row>
    <row r="12" customFormat="false" ht="15" hidden="false" customHeight="false" outlineLevel="0" collapsed="false">
      <c r="A12" s="8" t="s">
        <v>15</v>
      </c>
      <c r="B12" s="8" t="s">
        <v>24</v>
      </c>
      <c r="C12" s="8" t="s">
        <v>25</v>
      </c>
      <c r="D12" s="9" t="n">
        <v>69.8</v>
      </c>
      <c r="E12" s="9" t="n">
        <v>67.5</v>
      </c>
      <c r="F12" s="10" t="n">
        <f aca="false">D12/$B$5</f>
        <v>2.74803149606299</v>
      </c>
      <c r="G12" s="10" t="n">
        <f aca="false">E12/$B$5</f>
        <v>2.65748031496063</v>
      </c>
      <c r="H12" s="9" t="n">
        <v>76.8</v>
      </c>
      <c r="I12" s="9" t="n">
        <v>74.5</v>
      </c>
      <c r="J12" s="11" t="str">
        <f aca="false">IF(AND(D12&lt;=$B$4,E12&lt;=$B$4),"Yes","No")</f>
        <v>Yes</v>
      </c>
    </row>
    <row r="13" customFormat="false" ht="15" hidden="false" customHeight="false" outlineLevel="0" collapsed="false">
      <c r="A13" s="8" t="s">
        <v>15</v>
      </c>
      <c r="B13" s="8" t="s">
        <v>26</v>
      </c>
      <c r="C13" s="8" t="s">
        <v>27</v>
      </c>
      <c r="D13" s="9" t="n">
        <v>66.8</v>
      </c>
      <c r="E13" s="9" t="n">
        <v>67.5</v>
      </c>
      <c r="F13" s="10" t="n">
        <f aca="false">D13/$B$5</f>
        <v>2.62992125984252</v>
      </c>
      <c r="G13" s="10" t="n">
        <f aca="false">E13/$B$5</f>
        <v>2.65748031496063</v>
      </c>
      <c r="H13" s="9" t="n">
        <v>73.7</v>
      </c>
      <c r="I13" s="9" t="n">
        <v>74.5</v>
      </c>
      <c r="J13" s="11" t="str">
        <f aca="false">IF(AND(D13&lt;=$B$4,E13&lt;=$B$4),"Yes","No")</f>
        <v>Yes</v>
      </c>
    </row>
    <row r="14" customFormat="false" ht="15" hidden="false" customHeight="false" outlineLevel="0" collapsed="false">
      <c r="A14" s="8" t="s">
        <v>15</v>
      </c>
      <c r="B14" s="8" t="s">
        <v>28</v>
      </c>
      <c r="C14" s="8" t="s">
        <v>29</v>
      </c>
      <c r="D14" s="9" t="n">
        <v>69.5</v>
      </c>
      <c r="E14" s="9" t="n">
        <v>67.5</v>
      </c>
      <c r="F14" s="10" t="n">
        <f aca="false">D14/$B$5</f>
        <v>2.73622047244095</v>
      </c>
      <c r="G14" s="10" t="n">
        <f aca="false">E14/$B$5</f>
        <v>2.65748031496063</v>
      </c>
      <c r="H14" s="9" t="n">
        <v>76.5</v>
      </c>
      <c r="I14" s="9" t="n">
        <v>74.5</v>
      </c>
      <c r="J14" s="11" t="str">
        <f aca="false">IF(AND(D14&lt;=$B$4,E14&lt;=$B$4),"Yes","No")</f>
        <v>Yes</v>
      </c>
    </row>
    <row r="15" customFormat="false" ht="15" hidden="false" customHeight="false" outlineLevel="0" collapsed="false">
      <c r="A15" s="8" t="s">
        <v>30</v>
      </c>
      <c r="B15" s="8" t="s">
        <v>31</v>
      </c>
      <c r="C15" s="8" t="s">
        <v>32</v>
      </c>
      <c r="D15" s="9" t="n">
        <v>66.8</v>
      </c>
      <c r="E15" s="9" t="n">
        <v>67.5</v>
      </c>
      <c r="F15" s="10" t="n">
        <f aca="false">D15/$B$5</f>
        <v>2.62992125984252</v>
      </c>
      <c r="G15" s="10" t="n">
        <f aca="false">E15/$B$5</f>
        <v>2.65748031496063</v>
      </c>
      <c r="H15" s="9" t="n">
        <v>73.7</v>
      </c>
      <c r="I15" s="9" t="n">
        <v>74.5</v>
      </c>
      <c r="J15" s="11" t="str">
        <f aca="false">IF(AND(D15&lt;=$B$4,E15&lt;=$B$4),"Yes","No")</f>
        <v>Yes</v>
      </c>
    </row>
    <row r="16" customFormat="false" ht="15" hidden="false" customHeight="false" outlineLevel="0" collapsed="false">
      <c r="A16" s="8" t="s">
        <v>30</v>
      </c>
      <c r="B16" s="8" t="s">
        <v>33</v>
      </c>
      <c r="C16" s="8" t="s">
        <v>34</v>
      </c>
      <c r="D16" s="9" t="n">
        <v>66.8</v>
      </c>
      <c r="E16" s="9" t="n">
        <v>72.8</v>
      </c>
      <c r="F16" s="10" t="n">
        <f aca="false">D16/$B$5</f>
        <v>2.62992125984252</v>
      </c>
      <c r="G16" s="10" t="n">
        <f aca="false">E16/$B$5</f>
        <v>2.86614173228347</v>
      </c>
      <c r="H16" s="9" t="n">
        <v>73.7</v>
      </c>
      <c r="I16" s="9" t="n">
        <v>79.8</v>
      </c>
      <c r="J16" s="11" t="str">
        <f aca="false">IF(AND(D16&lt;=$B$4,E16&lt;=$B$4),"Yes","No")</f>
        <v>Yes</v>
      </c>
    </row>
    <row r="17" customFormat="false" ht="15" hidden="false" customHeight="false" outlineLevel="0" collapsed="false">
      <c r="A17" s="8" t="s">
        <v>30</v>
      </c>
      <c r="B17" s="8" t="s">
        <v>35</v>
      </c>
      <c r="C17" s="8" t="s">
        <v>36</v>
      </c>
      <c r="D17" s="9" t="n">
        <v>66.8</v>
      </c>
      <c r="E17" s="9" t="n">
        <v>71.8</v>
      </c>
      <c r="F17" s="10" t="n">
        <f aca="false">D17/$B$5</f>
        <v>2.62992125984252</v>
      </c>
      <c r="G17" s="10" t="n">
        <f aca="false">E17/$B$5</f>
        <v>2.82677165354331</v>
      </c>
      <c r="H17" s="9" t="n">
        <v>73.7</v>
      </c>
      <c r="I17" s="9" t="n">
        <v>78.8</v>
      </c>
      <c r="J17" s="11" t="str">
        <f aca="false">IF(AND(D17&lt;=$B$4,E17&lt;=$B$4),"Yes","No")</f>
        <v>Yes</v>
      </c>
    </row>
    <row r="18" customFormat="false" ht="15" hidden="false" customHeight="false" outlineLevel="0" collapsed="false">
      <c r="A18" s="8" t="s">
        <v>30</v>
      </c>
      <c r="B18" s="8" t="s">
        <v>37</v>
      </c>
      <c r="C18" s="8" t="s">
        <v>38</v>
      </c>
      <c r="D18" s="9" t="n">
        <v>66.8</v>
      </c>
      <c r="E18" s="9" t="n">
        <v>71.8</v>
      </c>
      <c r="F18" s="10" t="n">
        <f aca="false">D18/$B$5</f>
        <v>2.62992125984252</v>
      </c>
      <c r="G18" s="10" t="n">
        <f aca="false">E18/$B$5</f>
        <v>2.82677165354331</v>
      </c>
      <c r="H18" s="9" t="n">
        <v>73.7</v>
      </c>
      <c r="I18" s="9" t="n">
        <v>78.8</v>
      </c>
      <c r="J18" s="11" t="str">
        <f aca="false">IF(AND(D18&lt;=$B$4,E18&lt;=$B$4),"Yes","No")</f>
        <v>Yes</v>
      </c>
    </row>
    <row r="19" customFormat="false" ht="15" hidden="false" customHeight="false" outlineLevel="0" collapsed="false">
      <c r="A19" s="8" t="s">
        <v>30</v>
      </c>
      <c r="B19" s="8" t="s">
        <v>39</v>
      </c>
      <c r="C19" s="8" t="s">
        <v>40</v>
      </c>
      <c r="D19" s="9" t="n">
        <v>71.4</v>
      </c>
      <c r="E19" s="9" t="n">
        <v>68.4</v>
      </c>
      <c r="F19" s="10" t="n">
        <f aca="false">D19/$B$5</f>
        <v>2.81102362204724</v>
      </c>
      <c r="G19" s="10" t="n">
        <f aca="false">E19/$B$5</f>
        <v>2.69291338582677</v>
      </c>
      <c r="H19" s="9" t="n">
        <v>78.4</v>
      </c>
      <c r="I19" s="9" t="n">
        <v>75.4</v>
      </c>
      <c r="J19" s="11" t="str">
        <f aca="false">IF(AND(D19&lt;=$B$4,E19&lt;=$B$4),"Yes","No")</f>
        <v>Yes</v>
      </c>
    </row>
    <row r="20" customFormat="false" ht="15" hidden="false" customHeight="false" outlineLevel="0" collapsed="false">
      <c r="A20" s="8" t="s">
        <v>30</v>
      </c>
      <c r="B20" s="8" t="s">
        <v>41</v>
      </c>
      <c r="C20" s="8" t="s">
        <v>42</v>
      </c>
      <c r="D20" s="9" t="n">
        <v>66.8</v>
      </c>
      <c r="E20" s="9" t="n">
        <v>75.9</v>
      </c>
      <c r="F20" s="10" t="n">
        <f aca="false">D20/$B$5</f>
        <v>2.62992125984252</v>
      </c>
      <c r="G20" s="10" t="n">
        <f aca="false">E20/$B$5</f>
        <v>2.98818897637795</v>
      </c>
      <c r="H20" s="9" t="n">
        <v>73.7</v>
      </c>
      <c r="I20" s="9" t="n">
        <v>82.8</v>
      </c>
      <c r="J20" s="11" t="str">
        <f aca="false">IF(AND(D20&lt;=$B$4,E20&lt;=$B$4),"Yes","No")</f>
        <v>Yes</v>
      </c>
    </row>
    <row r="21" customFormat="false" ht="15" hidden="false" customHeight="false" outlineLevel="0" collapsed="false">
      <c r="A21" s="8" t="s">
        <v>30</v>
      </c>
      <c r="B21" s="8" t="s">
        <v>43</v>
      </c>
      <c r="C21" s="8" t="s">
        <v>44</v>
      </c>
      <c r="D21" s="9" t="n">
        <v>68.6</v>
      </c>
      <c r="E21" s="9" t="n">
        <v>68.7</v>
      </c>
      <c r="F21" s="10" t="n">
        <f aca="false">D21/$B$5</f>
        <v>2.7007874015748</v>
      </c>
      <c r="G21" s="10" t="n">
        <f aca="false">E21/$B$5</f>
        <v>2.70472440944882</v>
      </c>
      <c r="H21" s="9" t="n">
        <v>75.6</v>
      </c>
      <c r="I21" s="9" t="n">
        <v>75.7</v>
      </c>
      <c r="J21" s="11" t="str">
        <f aca="false">IF(AND(D21&lt;=$B$4,E21&lt;=$B$4),"Yes","No")</f>
        <v>Yes</v>
      </c>
    </row>
    <row r="22" customFormat="false" ht="15" hidden="false" customHeight="false" outlineLevel="0" collapsed="false">
      <c r="A22" s="8" t="s">
        <v>30</v>
      </c>
      <c r="B22" s="8" t="s">
        <v>45</v>
      </c>
      <c r="C22" s="8" t="s">
        <v>46</v>
      </c>
      <c r="D22" s="9" t="n">
        <v>66.8</v>
      </c>
      <c r="E22" s="9" t="n">
        <v>67.5</v>
      </c>
      <c r="F22" s="10" t="n">
        <f aca="false">D22/$B$5</f>
        <v>2.62992125984252</v>
      </c>
      <c r="G22" s="10" t="n">
        <f aca="false">E22/$B$5</f>
        <v>2.65748031496063</v>
      </c>
      <c r="H22" s="9" t="n">
        <v>73.8</v>
      </c>
      <c r="I22" s="9" t="n">
        <v>74.5</v>
      </c>
      <c r="J22" s="11" t="str">
        <f aca="false">IF(AND(D22&lt;=$B$4,E22&lt;=$B$4),"Yes","No")</f>
        <v>Yes</v>
      </c>
    </row>
    <row r="23" customFormat="false" ht="15" hidden="false" customHeight="false" outlineLevel="0" collapsed="false">
      <c r="A23" s="8" t="s">
        <v>47</v>
      </c>
      <c r="B23" s="8" t="s">
        <v>48</v>
      </c>
      <c r="C23" s="8" t="s">
        <v>49</v>
      </c>
      <c r="D23" s="9" t="n">
        <v>69.6</v>
      </c>
      <c r="E23" s="9" t="n">
        <v>67.5</v>
      </c>
      <c r="F23" s="10" t="n">
        <f aca="false">D23/$B$5</f>
        <v>2.74015748031496</v>
      </c>
      <c r="G23" s="10" t="n">
        <f aca="false">E23/$B$5</f>
        <v>2.65748031496063</v>
      </c>
      <c r="H23" s="9" t="n">
        <v>76.6</v>
      </c>
      <c r="I23" s="9" t="n">
        <v>74.5</v>
      </c>
      <c r="J23" s="11" t="str">
        <f aca="false">IF(AND(D23&lt;=$B$4,E23&lt;=$B$4),"Yes","No")</f>
        <v>Yes</v>
      </c>
    </row>
    <row r="24" customFormat="false" ht="15" hidden="false" customHeight="false" outlineLevel="0" collapsed="false">
      <c r="A24" s="8" t="s">
        <v>47</v>
      </c>
      <c r="B24" s="8" t="s">
        <v>50</v>
      </c>
      <c r="C24" s="8" t="s">
        <v>51</v>
      </c>
      <c r="D24" s="9" t="n">
        <v>69.3</v>
      </c>
      <c r="E24" s="9" t="n">
        <v>67.5</v>
      </c>
      <c r="F24" s="10" t="n">
        <f aca="false">D24/$B$5</f>
        <v>2.72834645669291</v>
      </c>
      <c r="G24" s="10" t="n">
        <f aca="false">E24/$B$5</f>
        <v>2.65748031496063</v>
      </c>
      <c r="H24" s="9" t="n">
        <v>76.3</v>
      </c>
      <c r="I24" s="9" t="n">
        <v>74.5</v>
      </c>
      <c r="J24" s="11" t="str">
        <f aca="false">IF(AND(D24&lt;=$B$4,E24&lt;=$B$4),"Yes","No")</f>
        <v>Yes</v>
      </c>
    </row>
    <row r="25" customFormat="false" ht="15" hidden="false" customHeight="false" outlineLevel="0" collapsed="false">
      <c r="A25" s="8" t="s">
        <v>47</v>
      </c>
      <c r="B25" s="8" t="s">
        <v>52</v>
      </c>
      <c r="C25" s="8" t="s">
        <v>53</v>
      </c>
      <c r="D25" s="9" t="n">
        <v>69.3</v>
      </c>
      <c r="E25" s="9" t="n">
        <v>67.5</v>
      </c>
      <c r="F25" s="10" t="n">
        <f aca="false">D25/$B$5</f>
        <v>2.72834645669291</v>
      </c>
      <c r="G25" s="10" t="n">
        <f aca="false">E25/$B$5</f>
        <v>2.65748031496063</v>
      </c>
      <c r="H25" s="9" t="n">
        <v>76.2</v>
      </c>
      <c r="I25" s="9" t="n">
        <v>74.5</v>
      </c>
      <c r="J25" s="11" t="str">
        <f aca="false">IF(AND(D25&lt;=$B$4,E25&lt;=$B$4),"Yes","No")</f>
        <v>Yes</v>
      </c>
    </row>
    <row r="26" customFormat="false" ht="15" hidden="false" customHeight="false" outlineLevel="0" collapsed="false">
      <c r="A26" s="8" t="s">
        <v>47</v>
      </c>
      <c r="B26" s="8" t="s">
        <v>54</v>
      </c>
      <c r="C26" s="8" t="s">
        <v>55</v>
      </c>
      <c r="D26" s="9" t="n">
        <v>69.7</v>
      </c>
      <c r="E26" s="9" t="n">
        <v>67.5</v>
      </c>
      <c r="F26" s="10" t="n">
        <f aca="false">D26/$B$5</f>
        <v>2.74409448818898</v>
      </c>
      <c r="G26" s="10" t="n">
        <f aca="false">E26/$B$5</f>
        <v>2.65748031496063</v>
      </c>
      <c r="H26" s="9" t="n">
        <v>76.7</v>
      </c>
      <c r="I26" s="9" t="n">
        <v>74.5</v>
      </c>
      <c r="J26" s="11" t="str">
        <f aca="false">IF(AND(D26&lt;=$B$4,E26&lt;=$B$4),"Yes","No")</f>
        <v>Yes</v>
      </c>
    </row>
    <row r="27" customFormat="false" ht="15" hidden="false" customHeight="false" outlineLevel="0" collapsed="false">
      <c r="A27" s="8" t="s">
        <v>47</v>
      </c>
      <c r="B27" s="8" t="s">
        <v>56</v>
      </c>
      <c r="C27" s="8" t="s">
        <v>57</v>
      </c>
      <c r="D27" s="9" t="n">
        <v>68.9</v>
      </c>
      <c r="E27" s="9" t="n">
        <v>67.5</v>
      </c>
      <c r="F27" s="10" t="n">
        <f aca="false">D27/$B$5</f>
        <v>2.71259842519685</v>
      </c>
      <c r="G27" s="10" t="n">
        <f aca="false">E27/$B$5</f>
        <v>2.65748031496063</v>
      </c>
      <c r="H27" s="9" t="n">
        <v>75.9</v>
      </c>
      <c r="I27" s="9" t="n">
        <v>74.5</v>
      </c>
      <c r="J27" s="11" t="str">
        <f aca="false">IF(AND(D27&lt;=$B$4,E27&lt;=$B$4),"Yes","No")</f>
        <v>Yes</v>
      </c>
    </row>
    <row r="28" customFormat="false" ht="15" hidden="false" customHeight="false" outlineLevel="0" collapsed="false">
      <c r="A28" s="8" t="s">
        <v>47</v>
      </c>
      <c r="B28" s="8" t="s">
        <v>58</v>
      </c>
      <c r="C28" s="8" t="s">
        <v>59</v>
      </c>
      <c r="D28" s="9" t="n">
        <v>69.4</v>
      </c>
      <c r="E28" s="9" t="n">
        <v>67.5</v>
      </c>
      <c r="F28" s="10" t="n">
        <f aca="false">D28/$B$5</f>
        <v>2.73228346456693</v>
      </c>
      <c r="G28" s="10" t="n">
        <f aca="false">E28/$B$5</f>
        <v>2.65748031496063</v>
      </c>
      <c r="H28" s="9" t="n">
        <v>76.4</v>
      </c>
      <c r="I28" s="9" t="n">
        <v>74.5</v>
      </c>
      <c r="J28" s="11" t="str">
        <f aca="false">IF(AND(D28&lt;=$B$4,E28&lt;=$B$4),"Yes","No")</f>
        <v>Yes</v>
      </c>
    </row>
    <row r="29" customFormat="false" ht="15" hidden="false" customHeight="false" outlineLevel="0" collapsed="false">
      <c r="A29" s="8" t="s">
        <v>47</v>
      </c>
      <c r="B29" s="8" t="s">
        <v>60</v>
      </c>
      <c r="C29" s="8" t="s">
        <v>61</v>
      </c>
      <c r="D29" s="9" t="n">
        <v>69.6</v>
      </c>
      <c r="E29" s="9" t="n">
        <v>67.5</v>
      </c>
      <c r="F29" s="10" t="n">
        <f aca="false">D29/$B$5</f>
        <v>2.74015748031496</v>
      </c>
      <c r="G29" s="10" t="n">
        <f aca="false">E29/$B$5</f>
        <v>2.65748031496063</v>
      </c>
      <c r="H29" s="9" t="n">
        <v>76.6</v>
      </c>
      <c r="I29" s="9" t="n">
        <v>74.5</v>
      </c>
      <c r="J29" s="11" t="str">
        <f aca="false">IF(AND(D29&lt;=$B$4,E29&lt;=$B$4),"Yes","No")</f>
        <v>Yes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4" t="s">
        <v>62</v>
      </c>
      <c r="C31" s="2"/>
      <c r="D31" s="12" t="n">
        <f aca="false">MAX(D8:D29)</f>
        <v>71.4</v>
      </c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/>
      <c r="B32" s="4" t="s">
        <v>63</v>
      </c>
      <c r="C32" s="2"/>
      <c r="D32" s="12" t="n">
        <f aca="false">MAX(E8:E29)</f>
        <v>75.9</v>
      </c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/>
      <c r="B33" s="4" t="s">
        <v>64</v>
      </c>
      <c r="C33" s="2"/>
      <c r="D33" s="13" t="n">
        <f aca="false">MAX(F8:F29)</f>
        <v>2.81102362204724</v>
      </c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2"/>
      <c r="B34" s="4" t="s">
        <v>65</v>
      </c>
      <c r="C34" s="2"/>
      <c r="D34" s="13" t="n">
        <f aca="false">MAX(G8:G29)</f>
        <v>2.98818897637795</v>
      </c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2"/>
      <c r="B35" s="4" t="s">
        <v>66</v>
      </c>
      <c r="C35" s="2"/>
      <c r="D35" s="14" t="str">
        <f aca="false">COUNTIF(J8:J29,"Yes")&amp;" of "&amp;COUNTA(B8:B29)</f>
        <v>22 of 22</v>
      </c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3" t="s">
        <v>67</v>
      </c>
      <c r="B37" s="2"/>
      <c r="C37" s="2"/>
      <c r="D37" s="2"/>
      <c r="E37" s="2"/>
      <c r="F37" s="2"/>
      <c r="G37" s="2"/>
      <c r="H37" s="2"/>
      <c r="I37" s="2"/>
      <c r="J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9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" t="s">
        <v>68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15" t="s">
        <v>69</v>
      </c>
      <c r="B3" s="15" t="s">
        <v>70</v>
      </c>
      <c r="C3" s="15" t="s">
        <v>71</v>
      </c>
      <c r="D3" s="15" t="s">
        <v>72</v>
      </c>
      <c r="E3" s="15" t="s">
        <v>73</v>
      </c>
      <c r="F3" s="15" t="s">
        <v>74</v>
      </c>
      <c r="G3" s="15" t="s">
        <v>75</v>
      </c>
    </row>
    <row r="4" customFormat="false" ht="15" hidden="false" customHeight="false" outlineLevel="0" collapsed="false">
      <c r="A4" s="8" t="s">
        <v>76</v>
      </c>
      <c r="B4" s="16" t="n">
        <v>512</v>
      </c>
      <c r="C4" s="16" t="n">
        <v>512</v>
      </c>
      <c r="D4" s="8" t="s">
        <v>77</v>
      </c>
      <c r="E4" s="8" t="s">
        <v>78</v>
      </c>
      <c r="F4" s="8" t="s">
        <v>78</v>
      </c>
      <c r="G4" s="8" t="s">
        <v>79</v>
      </c>
    </row>
    <row r="5" customFormat="false" ht="15" hidden="false" customHeight="false" outlineLevel="0" collapsed="false">
      <c r="A5" s="8" t="s">
        <v>80</v>
      </c>
      <c r="B5" s="16" t="n">
        <v>2.5</v>
      </c>
      <c r="C5" s="16" t="n">
        <v>2.5</v>
      </c>
      <c r="D5" s="8" t="s">
        <v>81</v>
      </c>
      <c r="E5" s="17" t="n">
        <f aca="false">B5*'Sticker sizes'!$B$5</f>
        <v>63.5</v>
      </c>
      <c r="F5" s="17" t="n">
        <f aca="false">C5*'Sticker sizes'!$B$5</f>
        <v>63.5</v>
      </c>
      <c r="G5" s="8" t="s">
        <v>82</v>
      </c>
    </row>
    <row r="6" customFormat="false" ht="15" hidden="false" customHeight="false" outlineLevel="0" collapsed="false">
      <c r="A6" s="8" t="s">
        <v>83</v>
      </c>
      <c r="B6" s="16" t="n">
        <v>8.5</v>
      </c>
      <c r="C6" s="16" t="n">
        <v>11</v>
      </c>
      <c r="D6" s="8" t="s">
        <v>81</v>
      </c>
      <c r="E6" s="17" t="n">
        <f aca="false">B6*'Sticker sizes'!$B$5</f>
        <v>215.9</v>
      </c>
      <c r="F6" s="17" t="n">
        <f aca="false">C6*'Sticker sizes'!$B$5</f>
        <v>279.4</v>
      </c>
      <c r="G6" s="8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2026-10-10T16:07:00Z</dcterms:created>
  <dc:creator>openpyxl</dc:creator>
  <dc:description/>
  <dc:language>en-US</dc:language>
  <cp:lastModifiedBy/>
  <dcterms:modified xsi:type="dcterms:W3CDTF">2026-10-10T16:07:00Z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